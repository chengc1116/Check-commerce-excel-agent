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竞品产品升级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C31AAD4299346EC892698E57E28E7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02605" y="4114800"/>
          <a:ext cx="3190875" cy="223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FBD242B13F5842DBBC72410C5DA80A9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2605" y="3429000"/>
          <a:ext cx="4524375" cy="223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2A2C4017DA7E48EF8FAB8E824E8CDA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633960" y="4114800"/>
          <a:ext cx="14563725" cy="488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DDE19E6C58046139D451EF62FDA367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02605" y="8128000"/>
          <a:ext cx="5857875" cy="74199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<sst xmlns="http://schemas.openxmlformats.org/spreadsheetml/2006/main" count="54" uniqueCount="53">
  <si>
    <t xml:space="preserve">                                      产品研发要求输入表                                               立项编号：党英轩填写</t>
  </si>
  <si>
    <t>立项时间：</t>
  </si>
  <si>
    <t>2026.1.14</t>
  </si>
  <si>
    <t>设计时间：</t>
  </si>
  <si>
    <t>打样时间：</t>
  </si>
  <si>
    <t>上架时间：</t>
  </si>
  <si>
    <t>基本信息</t>
  </si>
  <si>
    <t>一级品类</t>
  </si>
  <si>
    <t>护腰</t>
  </si>
  <si>
    <t>二级品类</t>
  </si>
  <si>
    <t>医疗护腰</t>
  </si>
  <si>
    <t>三级品类</t>
  </si>
  <si>
    <t>高价打诺泰</t>
  </si>
  <si>
    <t>产品名称</t>
  </si>
  <si>
    <t>零压护腰</t>
  </si>
  <si>
    <t>是否季节产品</t>
  </si>
  <si>
    <t>否</t>
  </si>
  <si>
    <t>产品品牌</t>
  </si>
  <si>
    <t>seruna</t>
  </si>
  <si>
    <t>负责人</t>
  </si>
  <si>
    <t>徐刚</t>
  </si>
  <si>
    <t>市场大小/年月日（要做得价格段下)</t>
  </si>
  <si>
    <t>全平台年销售量（2.5-2.8亿）</t>
  </si>
  <si>
    <t>对手销售额/年月日</t>
  </si>
  <si>
    <t>1000万</t>
  </si>
  <si>
    <t>对手sku及占比</t>
  </si>
  <si>
    <t>F06（占比诺泰销量60%）</t>
  </si>
  <si>
    <r>
      <rPr>
        <sz val="12"/>
        <color theme="1"/>
        <rFont val="宋体"/>
        <charset val="134"/>
        <scheme val="minor"/>
      </rPr>
      <t>9宫格前6</t>
    </r>
    <r>
      <rPr>
        <sz val="12"/>
        <color rgb="FFFF0000"/>
        <rFont val="宋体"/>
        <charset val="134"/>
        <scheme val="minor"/>
      </rPr>
      <t>（目标）</t>
    </r>
  </si>
  <si>
    <t>人群（落实到具体需求及需求排序）</t>
  </si>
  <si>
    <t>场景（落实到具体场景及场景排序）</t>
  </si>
  <si>
    <t>价格/毛利</t>
  </si>
  <si>
    <t>标准款199/只   成本按照50算，毛利75%</t>
  </si>
  <si>
    <t>对手是谁</t>
  </si>
  <si>
    <t>诺泰</t>
  </si>
  <si>
    <t>对手的卖点（复制）</t>
  </si>
  <si>
    <r>
      <rPr>
        <sz val="12"/>
        <color theme="1"/>
        <rFont val="宋体"/>
        <charset val="134"/>
        <scheme val="minor"/>
      </rPr>
      <t>1.背板设计（锚点设计）     解决支撑问题
2.  6个支撑条              解决支撑问题
3.特殊面料（透气）         解决</t>
    </r>
    <r>
      <rPr>
        <sz val="12"/>
        <color rgb="FFFF0000"/>
        <rFont val="宋体"/>
        <charset val="134"/>
        <scheme val="minor"/>
      </rPr>
      <t>舒适</t>
    </r>
    <r>
      <rPr>
        <sz val="12"/>
        <color theme="1"/>
        <rFont val="宋体"/>
        <charset val="134"/>
        <scheme val="minor"/>
      </rPr>
      <t>问题</t>
    </r>
  </si>
  <si>
    <t>对手的卖点（超越）</t>
  </si>
  <si>
    <r>
      <t>1.背板支撑延用诺泰形式（大面积背板）
2.面料透气度</t>
    </r>
    <r>
      <rPr>
        <sz val="12"/>
        <color rgb="FFFF0000"/>
        <rFont val="宋体"/>
        <charset val="134"/>
        <scheme val="minor"/>
      </rPr>
      <t>不弱于</t>
    </r>
    <r>
      <rPr>
        <sz val="12"/>
        <color theme="1"/>
        <rFont val="宋体"/>
        <charset val="134"/>
        <scheme val="minor"/>
      </rPr>
      <t>对手
3.前腹部面料弹性和舒适度</t>
    </r>
    <r>
      <rPr>
        <sz val="12"/>
        <color rgb="FFFF0000"/>
        <rFont val="宋体"/>
        <charset val="134"/>
        <scheme val="minor"/>
      </rPr>
      <t>必须高于</t>
    </r>
    <r>
      <rPr>
        <sz val="12"/>
        <color theme="1"/>
        <rFont val="宋体"/>
        <charset val="134"/>
        <scheme val="minor"/>
      </rPr>
      <t>对手</t>
    </r>
  </si>
  <si>
    <r>
      <rPr>
        <sz val="12"/>
        <color theme="1"/>
        <rFont val="宋体"/>
        <charset val="134"/>
        <scheme val="minor"/>
      </rPr>
      <t>设计要求</t>
    </r>
    <r>
      <rPr>
        <sz val="12"/>
        <color rgb="FFFF0000"/>
        <rFont val="宋体"/>
        <charset val="134"/>
        <scheme val="minor"/>
      </rPr>
      <t>（工具）怎么超越对手</t>
    </r>
  </si>
  <si>
    <t>设计目的概述</t>
  </si>
  <si>
    <r>
      <rPr>
        <sz val="12"/>
        <color theme="1"/>
        <rFont val="宋体"/>
        <charset val="134"/>
        <scheme val="minor"/>
      </rPr>
      <t xml:space="preserve">a类做品牌风格      </t>
    </r>
    <r>
      <rPr>
        <b/>
        <sz val="12"/>
        <color rgb="FFFF0000"/>
        <rFont val="宋体"/>
        <charset val="134"/>
        <scheme val="minor"/>
      </rPr>
      <t>b类做场景下的产品升级（久戴）</t>
    </r>
    <r>
      <rPr>
        <sz val="12"/>
        <color theme="1"/>
        <rFont val="宋体"/>
        <charset val="134"/>
        <scheme val="minor"/>
      </rPr>
      <t xml:space="preserve">       c类做顾客买点升级</t>
    </r>
  </si>
  <si>
    <t>改外观/品牌</t>
  </si>
  <si>
    <t>改材料</t>
  </si>
  <si>
    <t>前腹部材料</t>
  </si>
  <si>
    <t>改功能</t>
  </si>
  <si>
    <t>背部背板升级小功能</t>
  </si>
  <si>
    <t>具体情况</t>
  </si>
  <si>
    <t>针对对手产品图片具体做哪里升级</t>
  </si>
  <si>
    <t>产品型号</t>
  </si>
  <si>
    <t>/</t>
  </si>
  <si>
    <t>ERP成本（需求）</t>
  </si>
  <si>
    <t>70元/只 以内</t>
  </si>
  <si>
    <t>第二轮截止时间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</si>
</sst>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name val="华文中宋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26"/>
      <name val="华文中宋"/>
      <charset val="134"/>
    </font>
    <font>
      <sz val="24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197485</xdr:colOff>
      <xdr:row>0</xdr:row>
      <xdr:rowOff>635</xdr:rowOff>
    </xdr:from>
    <xdr:to>
      <xdr:col>64</xdr:col>
      <xdr:colOff>0</xdr:colOff>
      <xdr:row>15</xdr:row>
      <xdr:rowOff>241300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01235" y="635"/>
          <a:ext cx="9263380" cy="495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3651250</xdr:colOff>
      <xdr:row>23</xdr:row>
      <xdr:rowOff>63500</xdr:rowOff>
    </xdr:from>
    <xdr:to>
      <xdr:col>3</xdr:col>
      <xdr:colOff>5909310</xdr:colOff>
      <xdr:row>23</xdr:row>
      <xdr:rowOff>2092325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30155" y="8191500"/>
          <a:ext cx="2258060" cy="2028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F34"/>
  <sheetViews>
    <sheetView tabSelected="1" zoomScale="130" zoomScaleNormal="130" topLeftCell="A2" workbookViewId="0">
      <selection activeCell="E16" sqref="E16"/>
    </sheetView>
  </sheetViews>
  <sheetFormatPr defaultColWidth="2.64166666666667" defaultRowHeight="15.95" customHeight="1"/>
  <cols>
    <col min="1" max="1" width="23.3833333333333" style="1" customWidth="1"/>
    <col min="2" max="2" width="50.1416666666667" style="2" customWidth="1"/>
    <col min="3" max="3" width="11.5" style="1" customWidth="1"/>
    <col min="4" max="4" width="80.775" style="1" customWidth="1"/>
    <col min="5" max="5" width="22.6" style="1"/>
    <col min="6" max="6" width="9.625" style="1"/>
    <col min="7" max="16327" width="2.64166666666667" style="1"/>
    <col min="16328" max="16384" width="2.64166666666667" style="3"/>
  </cols>
  <sheetData>
    <row r="1" s="1" customFormat="1" ht="30" customHeight="1" spans="1:5 16328:16360">
      <c r="A1" s="4" t="s">
        <v>0</v>
      </c>
      <c r="B1" s="5"/>
      <c r="C1" s="4"/>
      <c r="D1" s="4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</row>
    <row r="2" s="1" customFormat="1" ht="20" customHeight="1" spans="1:5 16328:16360">
      <c r="A2" s="4" t="s">
        <v>1</v>
      </c>
      <c r="B2" s="5" t="s">
        <v>2</v>
      </c>
      <c r="C2" s="4" t="s">
        <v>3</v>
      </c>
      <c r="D2" s="6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</row>
    <row r="3" s="1" customFormat="1" ht="20" customHeight="1" spans="1:5 16328:16360">
      <c r="A3" s="4" t="s">
        <v>4</v>
      </c>
      <c r="B3" s="5"/>
      <c r="C3" s="4" t="s">
        <v>5</v>
      </c>
      <c r="D3" s="6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</row>
    <row r="4" s="1" customFormat="1" ht="20" customHeight="1" spans="1:5 16328:16360">
      <c r="A4" s="7" t="s">
        <v>6</v>
      </c>
      <c r="B4" s="5" t="s">
        <v>7</v>
      </c>
      <c r="C4" s="5" t="s">
        <v>8</v>
      </c>
      <c r="D4" s="5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</row>
    <row r="5" s="1" customFormat="1" ht="20" customHeight="1" spans="1:5 16328:16360">
      <c r="A5" s="8"/>
      <c r="B5" s="5" t="s">
        <v>9</v>
      </c>
      <c r="C5" s="5" t="s">
        <v>10</v>
      </c>
      <c r="D5" s="5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</row>
    <row r="6" s="1" customFormat="1" ht="20" customHeight="1" spans="1:5 16328:16360">
      <c r="A6" s="8"/>
      <c r="B6" s="5" t="s">
        <v>11</v>
      </c>
      <c r="C6" s="5" t="s">
        <v>12</v>
      </c>
      <c r="D6" s="5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</row>
    <row r="7" s="1" customFormat="1" ht="20" customHeight="1" spans="1:5 16328:16360">
      <c r="A7" s="8"/>
      <c r="B7" s="5" t="s">
        <v>13</v>
      </c>
      <c r="C7" s="5" t="s">
        <v>14</v>
      </c>
      <c r="D7" s="5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</row>
    <row r="8" s="1" customFormat="1" ht="20" customHeight="1" spans="1:5 16328:16360">
      <c r="A8" s="8"/>
      <c r="B8" s="5" t="s">
        <v>15</v>
      </c>
      <c r="C8" s="9" t="s">
        <v>16</v>
      </c>
      <c r="D8" s="10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</row>
    <row r="9" s="1" customFormat="1" ht="20" customHeight="1" spans="1:5 16328:16360">
      <c r="A9" s="8"/>
      <c r="B9" s="5" t="s">
        <v>17</v>
      </c>
      <c r="C9" s="5" t="s">
        <v>18</v>
      </c>
      <c r="D9" s="5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</row>
    <row r="10" s="1" customFormat="1" ht="20" customHeight="1" spans="1:5 16328:16360">
      <c r="A10" s="8"/>
      <c r="B10" s="5" t="s">
        <v>19</v>
      </c>
      <c r="C10" s="5" t="s">
        <v>20</v>
      </c>
      <c r="D10" s="5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</row>
    <row r="11" s="1" customFormat="1" ht="20" customHeight="1" spans="1:5 16328:16360">
      <c r="A11" s="8"/>
      <c r="B11" s="11" t="s">
        <v>21</v>
      </c>
      <c r="C11" s="9" t="s">
        <v>22</v>
      </c>
      <c r="D11" s="10"/>
      <c r="XCZ11" s="3"/>
      <c r="XDA11" s="3"/>
      <c r="XDB11" s="3"/>
      <c r="XDC11" s="3"/>
      <c r="XDD11" s="3"/>
      <c r="XDE11" s="3"/>
      <c r="XDF11" s="3"/>
      <c r="XDG11" s="3"/>
      <c r="XDH11" s="3"/>
      <c r="XDI11" s="3"/>
      <c r="XDJ11" s="3"/>
      <c r="XDK11" s="3"/>
      <c r="XDL11" s="3"/>
      <c r="XDM11" s="3"/>
      <c r="XDN11" s="3"/>
      <c r="XDO11" s="3"/>
      <c r="XDP11" s="3"/>
      <c r="XDQ11" s="3"/>
      <c r="XDR11" s="3"/>
      <c r="XDS11" s="3"/>
      <c r="XDT11" s="3"/>
      <c r="XDU11" s="3"/>
      <c r="XDV11" s="3"/>
      <c r="XDW11" s="3"/>
      <c r="XDX11" s="3"/>
      <c r="XDY11" s="3"/>
      <c r="XDZ11" s="3"/>
      <c r="XEA11" s="3"/>
      <c r="XEB11" s="3"/>
      <c r="XEC11" s="3"/>
      <c r="XED11" s="3"/>
      <c r="XEE11" s="3"/>
      <c r="XEF11" s="3"/>
    </row>
    <row r="12" s="1" customFormat="1" ht="20" customHeight="1" spans="1:5 16328:16360">
      <c r="A12" s="8"/>
      <c r="B12" s="11" t="s">
        <v>23</v>
      </c>
      <c r="C12" s="9" t="s">
        <v>24</v>
      </c>
      <c r="D12" s="10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</row>
    <row r="13" s="1" customFormat="1" ht="20" customHeight="1" spans="1:5 16328:16360">
      <c r="A13" s="12"/>
      <c r="B13" s="11" t="s">
        <v>25</v>
      </c>
      <c r="C13" s="9" t="s">
        <v>26</v>
      </c>
      <c r="D13" s="10"/>
      <c r="XCZ13" s="3"/>
      <c r="XDA13" s="3"/>
      <c r="XDB13" s="3"/>
      <c r="XDC13" s="3"/>
      <c r="XDD13" s="3"/>
      <c r="XDE13" s="3"/>
      <c r="XDF13" s="3"/>
      <c r="XDG13" s="3"/>
      <c r="XDH13" s="3"/>
      <c r="XDI13" s="3"/>
      <c r="XDJ13" s="3"/>
      <c r="XDK13" s="3"/>
      <c r="XDL13" s="3"/>
      <c r="XDM13" s="3"/>
      <c r="XDN13" s="3"/>
      <c r="XDO13" s="3"/>
      <c r="XDP13" s="3"/>
      <c r="XDQ13" s="3"/>
      <c r="XDR13" s="3"/>
      <c r="XDS13" s="3"/>
      <c r="XDT13" s="3"/>
      <c r="XDU13" s="3"/>
      <c r="XDV13" s="3"/>
      <c r="XDW13" s="3"/>
      <c r="XDX13" s="3"/>
      <c r="XDY13" s="3"/>
      <c r="XDZ13" s="3"/>
      <c r="XEA13" s="3"/>
      <c r="XEB13" s="3"/>
      <c r="XEC13" s="3"/>
      <c r="XED13" s="3"/>
      <c r="XEE13" s="3"/>
      <c r="XEF13" s="3"/>
    </row>
    <row r="14" s="1" customFormat="1" ht="54" customHeight="1" spans="1:5 16328:16360">
      <c r="A14" s="5" t="s">
        <v>27</v>
      </c>
      <c r="B14" s="5" t="s">
        <v>28</v>
      </c>
      <c r="C14" s="5" t="str">
        <f>_xlfn.DISPIMG("ID_FBD242B13F5842DBBC72410C5DA80A91",1)</f>
        <v>=DISPIMG("ID_FBD242B13F5842DBBC72410C5DA80A91",1)</v>
      </c>
      <c r="D14" s="5"/>
      <c r="XCZ14" s="3"/>
      <c r="XDA14" s="3"/>
      <c r="XDB14" s="3"/>
      <c r="XDC14" s="3"/>
      <c r="XDD14" s="3"/>
      <c r="XDE14" s="3"/>
      <c r="XDF14" s="3"/>
      <c r="XDG14" s="3"/>
      <c r="XDH14" s="3"/>
      <c r="XDI14" s="3"/>
      <c r="XDJ14" s="3"/>
      <c r="XDK14" s="3"/>
      <c r="XDL14" s="3"/>
      <c r="XDM14" s="3"/>
      <c r="XDN14" s="3"/>
      <c r="XDO14" s="3"/>
      <c r="XDP14" s="3"/>
      <c r="XDQ14" s="3"/>
      <c r="XDR14" s="3"/>
      <c r="XDS14" s="3"/>
      <c r="XDT14" s="3"/>
      <c r="XDU14" s="3"/>
      <c r="XDV14" s="3"/>
      <c r="XDW14" s="3"/>
      <c r="XDX14" s="3"/>
      <c r="XDY14" s="3"/>
      <c r="XDZ14" s="3"/>
      <c r="XEA14" s="3"/>
      <c r="XEB14" s="3"/>
      <c r="XEC14" s="3"/>
      <c r="XED14" s="3"/>
      <c r="XEE14" s="3"/>
      <c r="XEF14" s="3"/>
    </row>
    <row r="15" s="1" customFormat="1" ht="47" customHeight="1" spans="1:5 16328:16360">
      <c r="A15" s="5"/>
      <c r="B15" s="5" t="s">
        <v>29</v>
      </c>
      <c r="C15" s="5" t="str">
        <f>_xlfn.DISPIMG("ID_BC31AAD4299346EC892698E57E28E735",1)</f>
        <v>=DISPIMG("ID_BC31AAD4299346EC892698E57E28E735",1)</v>
      </c>
      <c r="D15" s="5"/>
      <c r="E15" s="1" t="str">
        <f>_xlfn.DISPIMG("ID_2A2C4017DA7E48EF8FAB8E824E8CDA12",1)</f>
        <v>=DISPIMG("ID_2A2C4017DA7E48EF8FAB8E824E8CDA12",1)</v>
      </c>
      <c r="XCZ15" s="3"/>
      <c r="XDA15" s="3"/>
      <c r="XDB15" s="3"/>
      <c r="XDC15" s="3"/>
      <c r="XDD15" s="3"/>
      <c r="XDE15" s="3"/>
      <c r="XDF15" s="3"/>
      <c r="XDG15" s="3"/>
      <c r="XDH15" s="3"/>
      <c r="XDI15" s="3"/>
      <c r="XDJ15" s="3"/>
      <c r="XDK15" s="3"/>
      <c r="XDL15" s="3"/>
      <c r="XDM15" s="3"/>
      <c r="XDN15" s="3"/>
      <c r="XDO15" s="3"/>
      <c r="XDP15" s="3"/>
      <c r="XDQ15" s="3"/>
      <c r="XDR15" s="3"/>
      <c r="XDS15" s="3"/>
      <c r="XDT15" s="3"/>
      <c r="XDU15" s="3"/>
      <c r="XDV15" s="3"/>
      <c r="XDW15" s="3"/>
      <c r="XDX15" s="3"/>
      <c r="XDY15" s="3"/>
      <c r="XDZ15" s="3"/>
      <c r="XEA15" s="3"/>
      <c r="XEB15" s="3"/>
      <c r="XEC15" s="3"/>
      <c r="XED15" s="3"/>
      <c r="XEE15" s="3"/>
      <c r="XEF15" s="3"/>
    </row>
    <row r="16" s="1" customFormat="1" ht="47" customHeight="1" spans="1:5 16328:16360">
      <c r="A16" s="5"/>
      <c r="B16" s="5" t="s">
        <v>30</v>
      </c>
      <c r="C16" s="5" t="s">
        <v>31</v>
      </c>
      <c r="D16" s="5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</row>
    <row r="17" s="1" customFormat="1" ht="47" customHeight="1" spans="1:4 16328:16360">
      <c r="A17" s="5"/>
      <c r="B17" s="5" t="s">
        <v>32</v>
      </c>
      <c r="C17" s="5" t="s">
        <v>33</v>
      </c>
      <c r="D17" s="5"/>
      <c r="XCZ17" s="3"/>
      <c r="XDA17" s="3"/>
      <c r="XDB17" s="3"/>
      <c r="XDC17" s="3"/>
      <c r="XDD17" s="3"/>
      <c r="XDE17" s="3"/>
      <c r="XDF17" s="3"/>
      <c r="XDG17" s="3"/>
      <c r="XDH17" s="3"/>
      <c r="XDI17" s="3"/>
      <c r="XDJ17" s="3"/>
      <c r="XDK17" s="3"/>
      <c r="XDL17" s="3"/>
      <c r="XDM17" s="3"/>
      <c r="XDN17" s="3"/>
      <c r="XDO17" s="3"/>
      <c r="XDP17" s="3"/>
      <c r="XDQ17" s="3"/>
      <c r="XDR17" s="3"/>
      <c r="XDS17" s="3"/>
      <c r="XDT17" s="3"/>
      <c r="XDU17" s="3"/>
      <c r="XDV17" s="3"/>
      <c r="XDW17" s="3"/>
      <c r="XDX17" s="3"/>
      <c r="XDY17" s="3"/>
      <c r="XDZ17" s="3"/>
      <c r="XEA17" s="3"/>
      <c r="XEB17" s="3"/>
      <c r="XEC17" s="3"/>
      <c r="XED17" s="3"/>
      <c r="XEE17" s="3"/>
      <c r="XEF17" s="3"/>
    </row>
    <row r="18" s="1" customFormat="1" ht="47" customHeight="1" spans="1:4 16328:16360">
      <c r="A18" s="5"/>
      <c r="B18" s="5" t="s">
        <v>34</v>
      </c>
      <c r="C18" s="13" t="s">
        <v>35</v>
      </c>
      <c r="D18" s="5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</row>
    <row r="19" s="1" customFormat="1" ht="47" customHeight="1" spans="1:4 16328:16360">
      <c r="A19" s="5"/>
      <c r="B19" s="5" t="s">
        <v>36</v>
      </c>
      <c r="C19" s="13" t="s">
        <v>37</v>
      </c>
      <c r="D19" s="5"/>
      <c r="XCZ19" s="3"/>
      <c r="XDA19" s="3"/>
      <c r="XDB19" s="3"/>
      <c r="XDC19" s="3"/>
      <c r="XDD19" s="3"/>
      <c r="XDE19" s="3"/>
      <c r="XDF19" s="3"/>
      <c r="XDG19" s="3"/>
      <c r="XDH19" s="3"/>
      <c r="XDI19" s="3"/>
      <c r="XDJ19" s="3"/>
      <c r="XDK19" s="3"/>
      <c r="XDL19" s="3"/>
      <c r="XDM19" s="3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</row>
    <row r="20" s="1" customFormat="1" ht="21" customHeight="1" spans="1:4 16328:16360">
      <c r="A20" s="13" t="s">
        <v>38</v>
      </c>
      <c r="B20" s="5" t="s">
        <v>39</v>
      </c>
      <c r="C20" s="13" t="s">
        <v>40</v>
      </c>
      <c r="D20" s="13"/>
      <c r="XCZ20" s="3"/>
      <c r="XDA20" s="3"/>
      <c r="XDB20" s="3"/>
      <c r="XDC20" s="3"/>
      <c r="XDD20" s="3"/>
      <c r="XDE20" s="3"/>
      <c r="XDF20" s="3"/>
      <c r="XDG20" s="3"/>
      <c r="XDH20" s="3"/>
      <c r="XDI20" s="3"/>
      <c r="XDJ20" s="3"/>
      <c r="XDK20" s="3"/>
      <c r="XDL20" s="3"/>
      <c r="XDM20" s="3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</row>
    <row r="21" s="1" customFormat="1" ht="20" customHeight="1" spans="1:4 16328:16360">
      <c r="A21" s="13"/>
      <c r="B21" s="5" t="s">
        <v>41</v>
      </c>
      <c r="C21" s="5" t="s">
        <v>18</v>
      </c>
      <c r="D21" s="5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</row>
    <row r="22" s="1" customFormat="1" ht="20" customHeight="1" spans="1:4 16328:16360">
      <c r="A22" s="13"/>
      <c r="B22" s="5" t="s">
        <v>42</v>
      </c>
      <c r="C22" s="5" t="s">
        <v>43</v>
      </c>
      <c r="D22" s="5"/>
      <c r="XCZ22" s="3"/>
      <c r="XDA22" s="3"/>
      <c r="XDB22" s="3"/>
      <c r="XDC22" s="3"/>
      <c r="XDD22" s="3"/>
      <c r="XDE22" s="3"/>
      <c r="XDF22" s="3"/>
      <c r="XDG22" s="3"/>
      <c r="XDH22" s="3"/>
      <c r="XDI22" s="3"/>
      <c r="XDJ22" s="3"/>
      <c r="XDK22" s="3"/>
      <c r="XDL22" s="3"/>
      <c r="XDM22" s="3"/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</row>
    <row r="23" s="1" customFormat="1" ht="20" customHeight="1" spans="1:4 16328:16360">
      <c r="A23" s="13"/>
      <c r="B23" s="5" t="s">
        <v>44</v>
      </c>
      <c r="C23" s="5" t="s">
        <v>45</v>
      </c>
      <c r="D23" s="5"/>
      <c r="XCZ23" s="3"/>
      <c r="XDA23" s="3"/>
      <c r="XDB23" s="3"/>
      <c r="XDC23" s="3"/>
      <c r="XDD23" s="3"/>
      <c r="XDE23" s="3"/>
      <c r="XDF23" s="3"/>
      <c r="XDG23" s="3"/>
      <c r="XDH23" s="3"/>
      <c r="XDI23" s="3"/>
      <c r="XDJ23" s="3"/>
      <c r="XDK23" s="3"/>
      <c r="XDL23" s="3"/>
      <c r="XDM23" s="3"/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</row>
    <row r="24" s="1" customFormat="1" ht="165" customHeight="1" spans="1:4 16328:16360">
      <c r="A24" s="14" t="s">
        <v>46</v>
      </c>
      <c r="B24" s="13" t="s">
        <v>47</v>
      </c>
      <c r="C24" s="5" t="str">
        <f>_xlfn.DISPIMG("ID_8DDE19E6C58046139D451EF62FDA3675",1)</f>
        <v>=DISPIMG("ID_8DDE19E6C58046139D451EF62FDA3675",1)</v>
      </c>
      <c r="D24" s="5"/>
      <c r="XCZ24" s="3"/>
      <c r="XDA24" s="3"/>
      <c r="XDB24" s="3"/>
      <c r="XDC24" s="3"/>
      <c r="XDD24" s="3"/>
      <c r="XDE24" s="3"/>
      <c r="XDF24" s="3"/>
      <c r="XDG24" s="3"/>
      <c r="XDH24" s="3"/>
      <c r="XDI24" s="3"/>
      <c r="XDJ24" s="3"/>
      <c r="XDK24" s="3"/>
      <c r="XDL24" s="3"/>
      <c r="XDM24" s="3"/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</row>
    <row r="25" s="1" customFormat="1" ht="36" customHeight="1" spans="1:4 16328:16360">
      <c r="A25" s="14"/>
      <c r="B25" s="5" t="s">
        <v>48</v>
      </c>
      <c r="C25" s="5" t="s">
        <v>49</v>
      </c>
      <c r="D25" s="5"/>
      <c r="XCZ25" s="3"/>
      <c r="XDA25" s="3"/>
      <c r="XDB25" s="3"/>
      <c r="XDC25" s="3"/>
      <c r="XDD25" s="3"/>
      <c r="XDE25" s="3"/>
      <c r="XDF25" s="3"/>
      <c r="XDG25" s="3"/>
      <c r="XDH25" s="3"/>
      <c r="XDI25" s="3"/>
      <c r="XDJ25" s="3"/>
      <c r="XDK25" s="3"/>
      <c r="XDL25" s="3"/>
      <c r="XDM25" s="3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</row>
    <row r="26" s="1" customFormat="1" ht="41" customHeight="1" spans="1:4 16328:16360">
      <c r="A26" s="14"/>
      <c r="B26" s="5" t="s">
        <v>50</v>
      </c>
      <c r="C26" s="5" t="s">
        <v>51</v>
      </c>
      <c r="D26" s="5"/>
      <c r="XCZ26" s="3"/>
      <c r="XDA26" s="3"/>
      <c r="XDB26" s="3"/>
      <c r="XDC26" s="3"/>
      <c r="XDD26" s="3"/>
      <c r="XDE26" s="3"/>
      <c r="XDF26" s="3"/>
      <c r="XDG26" s="3"/>
      <c r="XDH26" s="3"/>
      <c r="XDI26" s="3"/>
      <c r="XDJ26" s="3"/>
      <c r="XDK26" s="3"/>
      <c r="XDL26" s="3"/>
      <c r="XDM26" s="3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</row>
    <row r="27" s="1" customFormat="1" ht="41" customHeight="1" spans="1:4 16328:16360">
      <c r="A27" s="15" t="s">
        <v>52</v>
      </c>
      <c r="B27" s="15"/>
      <c r="C27" s="16">
        <v>46051</v>
      </c>
      <c r="D27" s="17"/>
      <c r="XCZ27" s="3"/>
      <c r="XDA27" s="3"/>
      <c r="XDB27" s="3"/>
      <c r="XDC27" s="3"/>
      <c r="XDD27" s="3"/>
      <c r="XDE27" s="3"/>
      <c r="XDF27" s="3"/>
      <c r="XDG27" s="3"/>
      <c r="XDH27" s="3"/>
      <c r="XDI27" s="3"/>
      <c r="XDJ27" s="3"/>
      <c r="XDK27" s="3"/>
      <c r="XDL27" s="3"/>
      <c r="XDM27" s="3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</row>
    <row r="28" s="1" customFormat="1" ht="2" customHeight="1" spans="1:4 16328:16360">
      <c r="B28" s="2"/>
      <c r="XCZ28" s="3"/>
      <c r="XDA28" s="3"/>
      <c r="XDB28" s="3"/>
      <c r="XDC28" s="3"/>
      <c r="XDD28" s="3"/>
      <c r="XDE28" s="3"/>
      <c r="XDF28" s="3"/>
      <c r="XDG28" s="3"/>
      <c r="XDH28" s="3"/>
      <c r="XDI28" s="3"/>
      <c r="XDJ28" s="3"/>
      <c r="XDK28" s="3"/>
      <c r="XDL28" s="3"/>
      <c r="XDM28" s="3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</row>
    <row r="29" s="1" customFormat="1" ht="27" customHeight="1" spans="1:4 16328:16360">
      <c r="B29" s="2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</row>
    <row r="30" s="1" customFormat="1" ht="30" customHeight="1" spans="1:4 16328:16360">
      <c r="B30" s="2"/>
      <c r="XCZ30" s="3"/>
      <c r="XDA30" s="3"/>
      <c r="XDB30" s="3"/>
      <c r="XDC30" s="3"/>
      <c r="XDD30" s="3"/>
      <c r="XDE30" s="3"/>
      <c r="XDF30" s="3"/>
      <c r="XDG30" s="3"/>
      <c r="XDH30" s="3"/>
      <c r="XDI30" s="3"/>
      <c r="XDJ30" s="3"/>
      <c r="XDK30" s="3"/>
      <c r="XDL30" s="3"/>
      <c r="XDM30" s="3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</row>
    <row r="31" s="1" customFormat="1" ht="40" customHeight="1" spans="1:4 16328:16360">
      <c r="B31" s="2"/>
      <c r="XCZ31" s="3"/>
      <c r="XDA31" s="3"/>
      <c r="XDB31" s="3"/>
      <c r="XDC31" s="3"/>
      <c r="XDD31" s="3"/>
      <c r="XDE31" s="3"/>
      <c r="XDF31" s="3"/>
      <c r="XDG31" s="3"/>
      <c r="XDH31" s="3"/>
      <c r="XDI31" s="3"/>
      <c r="XDJ31" s="3"/>
      <c r="XDK31" s="3"/>
      <c r="XDL31" s="3"/>
      <c r="XDM31" s="3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</row>
    <row r="32" s="1" customFormat="1" ht="30" customHeight="1" spans="1:4 16328:16360">
      <c r="B32" s="2"/>
      <c r="XCZ32" s="3"/>
      <c r="XDA32" s="3"/>
      <c r="XDB32" s="3"/>
      <c r="XDC32" s="3"/>
      <c r="XDD32" s="3"/>
      <c r="XDE32" s="3"/>
      <c r="XDF32" s="3"/>
      <c r="XDG32" s="3"/>
      <c r="XDH32" s="3"/>
      <c r="XDI32" s="3"/>
      <c r="XDJ32" s="3"/>
      <c r="XDK32" s="3"/>
      <c r="XDL32" s="3"/>
      <c r="XDM32" s="3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</row>
    <row r="33" s="1" customFormat="1" ht="42" customHeight="1" spans="2:2 16328:16360">
      <c r="B33" s="2"/>
      <c r="XCZ33" s="3"/>
      <c r="XDA33" s="3"/>
      <c r="XDB33" s="3"/>
      <c r="XDC33" s="3"/>
      <c r="XDD33" s="3"/>
      <c r="XDE33" s="3"/>
      <c r="XDF33" s="3"/>
      <c r="XDG33" s="3"/>
      <c r="XDH33" s="3"/>
      <c r="XDI33" s="3"/>
      <c r="XDJ33" s="3"/>
      <c r="XDK33" s="3"/>
      <c r="XDL33" s="3"/>
      <c r="XDM33" s="3"/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</row>
    <row r="34" s="1" customFormat="1" ht="46" customHeight="1" spans="2:2 16328:16360">
      <c r="B34" s="2"/>
      <c r="XCZ34" s="3"/>
      <c r="XDA34" s="3"/>
      <c r="XDB34" s="3"/>
      <c r="XDC34" s="3"/>
      <c r="XDD34" s="3"/>
      <c r="XDE34" s="3"/>
      <c r="XDF34" s="3"/>
      <c r="XDG34" s="3"/>
      <c r="XDH34" s="3"/>
      <c r="XDI34" s="3"/>
      <c r="XDJ34" s="3"/>
      <c r="XDK34" s="3"/>
      <c r="XDL34" s="3"/>
      <c r="XDM34" s="3"/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</row>
  </sheetData>
  <mergeCells count="30">
    <mergeCell ref="A1:D1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27:B27"/>
    <mergeCell ref="C27:D27"/>
    <mergeCell ref="A4:A13"/>
    <mergeCell ref="A14:A19"/>
    <mergeCell ref="A20:A23"/>
    <mergeCell ref="A24:A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竞品产品升级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wuzha</dc:creator>
  <cp:lastModifiedBy>党英轩</cp:lastModifiedBy>
  <dcterms:created xsi:type="dcterms:W3CDTF">2025-01-16T19:56:00Z</dcterms:created>
  <dcterms:modified xsi:type="dcterms:W3CDTF">2026-01-22T10:21:21Z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405EAAC6C8CC44C4A233D0FB144FDD26_11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